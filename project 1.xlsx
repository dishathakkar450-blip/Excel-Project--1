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structions" sheetId="1" state="visible" r:id="rId1"/>
    <sheet xmlns:r="http://schemas.openxmlformats.org/officeDocument/2006/relationships" name="Students Grade" sheetId="3" state="visible" r:id="rId3"/>
    <sheet xmlns:r="http://schemas.openxmlformats.org/officeDocument/2006/relationships" name="Sales Data" sheetId="4" state="visible" r:id="rId4"/>
    <sheet xmlns:r="http://schemas.openxmlformats.org/officeDocument/2006/relationships" name="Employe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&quot;₹&quot;#,##0"/>
    <numFmt numFmtId="166" formatCode="yyyy-mm-dd"/>
    <numFmt numFmtId="167" formatCode="DD-MMM-YYYY"/>
    <numFmt numFmtId="168" formatCode="&quot;₹&quot;#,##0.00"/>
  </numFmts>
  <fonts count="9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color rgb="00000000"/>
    </font>
    <font>
      <name val="Arial"/>
      <b val="1"/>
      <color rgb="0038761D"/>
    </font>
    <font>
      <name val="Arial"/>
      <b val="1"/>
    </font>
    <font>
      <name val="Arial"/>
    </font>
    <font>
      <name val="Arial"/>
      <b val="1"/>
      <sz val="13"/>
    </font>
    <font>
      <name val="Consolas"/>
    </font>
    <font>
      <name val="Arial"/>
      <color rgb="0038761D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left" vertical="top" wrapText="1"/>
    </xf>
    <xf numFmtId="168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left" vertical="top" wrapText="1"/>
    </xf>
    <xf numFmtId="0" fontId="5" fillId="0" borderId="1" pivotButton="0" quotePrefix="0" xfId="0"/>
    <xf numFmtId="164" fontId="5" fillId="0" borderId="1" pivotButton="0" quotePrefix="0" xfId="0"/>
    <xf numFmtId="0" fontId="4" fillId="0" borderId="0" pivotButton="0" quotePrefix="0" xfId="0"/>
    <xf numFmtId="165" fontId="5" fillId="0" borderId="1" pivotButton="0" quotePrefix="0" xfId="0"/>
    <xf numFmtId="9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PR. 1 Fundamental Booster</t>
        </is>
      </c>
    </row>
    <row r="2">
      <c r="A2" s="2" t="inlineStr">
        <is>
          <t>Topics:</t>
        </is>
      </c>
    </row>
    <row r="3">
      <c r="A3" s="3" t="inlineStr">
        <is>
          <t xml:space="preserve"> - Relative &amp; Absolute References, Formatting, Data Input</t>
        </is>
      </c>
    </row>
    <row r="4">
      <c r="A4" s="3" t="inlineStr">
        <is>
          <t xml:space="preserve"> - IF Formulas, Nested IFs, IF with AND/OR</t>
        </is>
      </c>
    </row>
    <row r="5">
      <c r="A5" s="3" t="inlineStr">
        <is>
          <t xml:space="preserve"> - COUNTIFS, SUMIFS, AVERAGEIFS</t>
        </is>
      </c>
    </row>
    <row r="6">
      <c r="A6" s="3" t="inlineStr">
        <is>
          <t xml:space="preserve"> - Lookup Functions (VLOOKUP, XLOOKUP, XMATCH)</t>
        </is>
      </c>
    </row>
    <row r="7">
      <c r="A7" s="3" t="inlineStr">
        <is>
          <t xml:space="preserve"> - INDEX/MATCH for dynamic searches</t>
        </is>
      </c>
    </row>
    <row r="8">
      <c r="A8" s="3" t="inlineStr">
        <is>
          <t xml:space="preserve"> - TEXT Functions for string manipulations</t>
        </is>
      </c>
    </row>
    <row r="9">
      <c r="A9" s="3" t="inlineStr">
        <is>
          <t xml:space="preserve"> - INDIRECT and OFFSET for dynamic references</t>
        </is>
      </c>
    </row>
    <row r="10">
      <c r="A10" s="3" t="inlineStr">
        <is>
          <t xml:space="preserve"> - Date/Time, Math Functions, FILTER function</t>
        </is>
      </c>
    </row>
    <row r="11">
      <c r="A11" s="3" t="inlineStr"/>
    </row>
    <row r="12">
      <c r="A12" s="4" t="inlineStr">
        <is>
          <t>Main Tasks:</t>
        </is>
      </c>
    </row>
    <row r="13">
      <c r="A13" s="4" t="inlineStr">
        <is>
          <t xml:space="preserve"> 1. Apply IF formulas to classify student grades.</t>
        </is>
      </c>
    </row>
    <row r="14">
      <c r="A14" s="4" t="inlineStr">
        <is>
          <t xml:space="preserve"> 2. Use COUNTIFS to count students scoring above 60.</t>
        </is>
      </c>
    </row>
    <row r="15">
      <c r="A15" s="4" t="inlineStr">
        <is>
          <t xml:space="preserve"> 3. Use VLOOKUP to find a product price from sales data.</t>
        </is>
      </c>
    </row>
    <row r="16">
      <c r="A16" s="4" t="inlineStr">
        <is>
          <t xml:space="preserve"> 4. Apply XLOOKUP to fetch employee salaries dynamically.</t>
        </is>
      </c>
    </row>
    <row r="17">
      <c r="A17" s="4" t="inlineStr">
        <is>
          <t xml:space="preserve"> 5. Format and analyze date of joining in Employee data.</t>
        </is>
      </c>
    </row>
    <row r="18">
      <c r="A18" s="4" t="inlineStr">
        <is>
          <t xml:space="preserve"> 6. Use FILTER function to extract students with grades above 80.</t>
        </is>
      </c>
    </row>
    <row r="19">
      <c r="A19" s="3" t="inlineStr"/>
    </row>
    <row r="20">
      <c r="A20" s="2" t="inlineStr">
        <is>
          <t>Deliverable:</t>
        </is>
      </c>
    </row>
    <row r="21">
      <c r="A21" s="3" t="inlineStr">
        <is>
          <t>Complete the given worksheets by applying the required formulas in respective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8" customWidth="1" min="3" max="3"/>
    <col width="9" customWidth="1" min="4" max="4"/>
    <col width="9" customWidth="1" min="5" max="5"/>
    <col width="8" customWidth="1" min="6" max="6"/>
    <col width="16" customWidth="1" min="7" max="7"/>
    <col width="3" customWidth="1" min="8" max="8"/>
    <col width="7" customWidth="1" min="9" max="9"/>
    <col width="22" customWidth="1" min="10" max="10"/>
    <col width="3" customWidth="1" min="11" max="11"/>
    <col width="17" customWidth="1" min="12" max="12"/>
    <col width="10" customWidth="1" min="13" max="13"/>
    <col width="8" customWidth="1" min="14" max="14"/>
  </cols>
  <sheetData>
    <row r="1" ht="32" customHeight="1">
      <c r="A1" s="6" t="inlineStr">
        <is>
          <t>ID</t>
        </is>
      </c>
      <c r="B1" s="6" t="inlineStr">
        <is>
          <t>Name</t>
        </is>
      </c>
      <c r="C1" s="6" t="inlineStr">
        <is>
          <t>Math</t>
        </is>
      </c>
      <c r="D1" s="6" t="inlineStr">
        <is>
          <t>Science</t>
        </is>
      </c>
      <c r="E1" s="6" t="inlineStr">
        <is>
          <t>Average</t>
        </is>
      </c>
      <c r="F1" s="6" t="inlineStr">
        <is>
          <t>Grade</t>
        </is>
      </c>
      <c r="G1" s="6" t="inlineStr">
        <is>
          <t>Both Math &amp; Science &gt;80</t>
        </is>
      </c>
      <c r="I1" s="6" t="inlineStr">
        <is>
          <t>ID</t>
        </is>
      </c>
      <c r="J1" s="6" t="inlineStr">
        <is>
          <t>Student Name (Master)</t>
        </is>
      </c>
      <c r="L1" s="6" t="inlineStr">
        <is>
          <t>Name</t>
        </is>
      </c>
      <c r="M1" s="6" t="inlineStr">
        <is>
          <t>Average</t>
        </is>
      </c>
      <c r="N1" s="6" t="inlineStr">
        <is>
          <t>Grade</t>
        </is>
      </c>
    </row>
    <row r="2">
      <c r="A2" s="16" t="n">
        <v>101</v>
      </c>
      <c r="B2" s="16" t="str">
        <f>VLOOKUP(A2,$I$2:$J$13,2,FALSE)</f>
        <v>Aarav Shah</v>
      </c>
      <c r="C2" s="16" t="n">
        <v>92</v>
      </c>
      <c r="D2" s="16" t="n">
        <v>88</v>
      </c>
      <c r="E2" s="17">
        <f>AVERAGE(C2:D2)</f>
        <v>90</v>
      </c>
      <c r="F2" s="16" t="str">
        <f>IF(E2&gt;=90,"A",IF(E2&gt;=75,"B",IF(E2&gt;=60,"C",IF(E2&gt;=40,"D","Fail"))))</f>
        <v>A</v>
      </c>
      <c r="G2" s="16" t="str">
        <f>IF(AND(C2&gt;80,D2&gt;80),"Yes","No")</f>
        <v>Yes</v>
      </c>
      <c r="I2" s="16" t="n">
        <v>112</v>
      </c>
      <c r="J2" s="16" t="inlineStr">
        <is>
          <t>Pooja Rana</t>
        </is>
      </c>
      <c r="L2" s="16" t="str">
        <f t="array" ref="L2:N13">IFERROR(_xlfn._xlws.FILTER(CHOOSE({1,2,3},B2:B13,E2:E13,F2:F13),E2:E13&gt;80),"")</f>
        <v>Aarav Shah</v>
      </c>
      <c r="M2" s="17">
        <v>90</v>
      </c>
      <c r="N2" s="16" t="str">
        <v>A</v>
      </c>
    </row>
    <row r="3">
      <c r="A3" s="16" t="n">
        <v>102</v>
      </c>
      <c r="B3" s="16" t="str">
        <f>VLOOKUP(A3,$I$2:$J$13,2,FALSE)</f>
        <v>Diya Patel</v>
      </c>
      <c r="C3" s="16" t="n">
        <v>78</v>
      </c>
      <c r="D3" s="16" t="n">
        <v>82</v>
      </c>
      <c r="E3" s="17">
        <f>AVERAGE(C3:D3)</f>
        <v>80</v>
      </c>
      <c r="F3" s="16" t="str">
        <f>IF(E3&gt;=90,"A",IF(E3&gt;=75,"B",IF(E3&gt;=60,"C",IF(E3&gt;=40,"D","Fail"))))</f>
        <v>B</v>
      </c>
      <c r="G3" s="16" t="str">
        <f>IF(AND(C3&gt;80,D3&gt;80),"Yes","No")</f>
        <v>No</v>
      </c>
      <c r="I3" s="16" t="n">
        <v>111</v>
      </c>
      <c r="J3" s="16" t="inlineStr">
        <is>
          <t>Krish Bhatt</t>
        </is>
      </c>
      <c r="L3" s="16" t="str">
        <v>Isha Joshi</v>
      </c>
      <c r="M3" s="17">
        <v>89.5</v>
      </c>
      <c r="N3" s="16" t="str">
        <v>B</v>
      </c>
    </row>
    <row r="4">
      <c r="A4" s="16" t="n">
        <v>103</v>
      </c>
      <c r="B4" s="16" t="str">
        <f>VLOOKUP(A4,$I$2:$J$13,2,FALSE)</f>
        <v>Kabir Mehta</v>
      </c>
      <c r="C4" s="16" t="n">
        <v>55</v>
      </c>
      <c r="D4" s="16" t="n">
        <v>48</v>
      </c>
      <c r="E4" s="17">
        <f>AVERAGE(C4:D4)</f>
        <v>51.5</v>
      </c>
      <c r="F4" s="16" t="str">
        <f>IF(E4&gt;=90,"A",IF(E4&gt;=75,"B",IF(E4&gt;=60,"C",IF(E4&gt;=40,"D","Fail"))))</f>
        <v>D</v>
      </c>
      <c r="G4" s="16" t="str">
        <f>IF(AND(C4&gt;80,D4&gt;80),"Yes","No")</f>
        <v>No</v>
      </c>
      <c r="I4" s="16" t="n">
        <v>110</v>
      </c>
      <c r="J4" s="16" t="inlineStr">
        <is>
          <t>Jay Thakkar</t>
        </is>
      </c>
      <c r="L4" s="16" t="str">
        <v>Yash Parmar</v>
      </c>
      <c r="M4" s="17">
        <v>83</v>
      </c>
      <c r="N4" s="16" t="str">
        <v>B</v>
      </c>
    </row>
    <row r="5">
      <c r="A5" s="16" t="n">
        <v>104</v>
      </c>
      <c r="B5" s="16" t="str">
        <f>VLOOKUP(A5,$I$2:$J$13,2,FALSE)</f>
        <v>Isha Joshi</v>
      </c>
      <c r="C5" s="16" t="n">
        <v>88</v>
      </c>
      <c r="D5" s="16" t="n">
        <v>91</v>
      </c>
      <c r="E5" s="17">
        <f>AVERAGE(C5:D5)</f>
        <v>89.5</v>
      </c>
      <c r="F5" s="16" t="str">
        <f>IF(E5&gt;=90,"A",IF(E5&gt;=75,"B",IF(E5&gt;=60,"C",IF(E5&gt;=40,"D","Fail"))))</f>
        <v>B</v>
      </c>
      <c r="G5" s="16" t="str">
        <f>IF(AND(C5&gt;80,D5&gt;80),"Yes","No")</f>
        <v>Yes</v>
      </c>
      <c r="I5" s="16" t="n">
        <v>109</v>
      </c>
      <c r="J5" s="16" t="inlineStr">
        <is>
          <t>Hetvi Vyas</t>
        </is>
      </c>
      <c r="L5" s="16" t="str">
        <v>Hetvi Vyas</v>
      </c>
      <c r="M5" s="17">
        <v>96</v>
      </c>
      <c r="N5" s="16" t="str">
        <v>A</v>
      </c>
    </row>
    <row r="6">
      <c r="A6" s="16" t="n">
        <v>105</v>
      </c>
      <c r="B6" s="16" t="str">
        <f>VLOOKUP(A6,$I$2:$J$13,2,FALSE)</f>
        <v>Rohan Desai</v>
      </c>
      <c r="C6" s="16" t="n">
        <v>43</v>
      </c>
      <c r="D6" s="16" t="n">
        <v>52</v>
      </c>
      <c r="E6" s="17">
        <f>AVERAGE(C6:D6)</f>
        <v>47.5</v>
      </c>
      <c r="F6" s="16" t="str">
        <f>IF(E6&gt;=90,"A",IF(E6&gt;=75,"B",IF(E6&gt;=60,"C",IF(E6&gt;=40,"D","Fail"))))</f>
        <v>D</v>
      </c>
      <c r="G6" s="16" t="str">
        <f>IF(AND(C6&gt;80,D6&gt;80),"Yes","No")</f>
        <v>No</v>
      </c>
      <c r="I6" s="16" t="n">
        <v>108</v>
      </c>
      <c r="J6" s="16" t="inlineStr">
        <is>
          <t>Naina Modi</t>
        </is>
      </c>
      <c r="L6" s="16" t="str">
        <v>Pooja Rana</v>
      </c>
      <c r="M6" s="17">
        <v>81.5</v>
      </c>
      <c r="N6" s="16" t="str">
        <v>B</v>
      </c>
    </row>
    <row r="7">
      <c r="A7" s="16" t="n">
        <v>106</v>
      </c>
      <c r="B7" s="16" t="str">
        <f>VLOOKUP(A7,$I$2:$J$13,2,FALSE)</f>
        <v>Meera Trivedi</v>
      </c>
      <c r="C7" s="16" t="n">
        <v>67</v>
      </c>
      <c r="D7" s="16" t="n">
        <v>71</v>
      </c>
      <c r="E7" s="17">
        <f>AVERAGE(C7:D7)</f>
        <v>69</v>
      </c>
      <c r="F7" s="16" t="str">
        <f>IF(E7&gt;=90,"A",IF(E7&gt;=75,"B",IF(E7&gt;=60,"C",IF(E7&gt;=40,"D","Fail"))))</f>
        <v>C</v>
      </c>
      <c r="G7" s="16" t="str">
        <f>IF(AND(C7&gt;80,D7&gt;80),"Yes","No")</f>
        <v>No</v>
      </c>
      <c r="I7" s="16" t="n">
        <v>107</v>
      </c>
      <c r="J7" s="16" t="inlineStr">
        <is>
          <t>Yash Parmar</t>
        </is>
      </c>
      <c r="L7" s="16" t="n"/>
      <c r="M7" s="17" t="n"/>
      <c r="N7" s="16" t="n"/>
    </row>
    <row r="8">
      <c r="A8" s="16" t="n">
        <v>107</v>
      </c>
      <c r="B8" s="16" t="str">
        <f>VLOOKUP(A8,$I$2:$J$13,2,FALSE)</f>
        <v>Yash Parmar</v>
      </c>
      <c r="C8" s="16" t="n">
        <v>81</v>
      </c>
      <c r="D8" s="16" t="n">
        <v>85</v>
      </c>
      <c r="E8" s="17">
        <f>AVERAGE(C8:D8)</f>
        <v>83</v>
      </c>
      <c r="F8" s="16" t="str">
        <f>IF(E8&gt;=90,"A",IF(E8&gt;=75,"B",IF(E8&gt;=60,"C",IF(E8&gt;=40,"D","Fail"))))</f>
        <v>B</v>
      </c>
      <c r="G8" s="16" t="str">
        <f>IF(AND(C8&gt;80,D8&gt;80),"Yes","No")</f>
        <v>Yes</v>
      </c>
      <c r="I8" s="16" t="n">
        <v>106</v>
      </c>
      <c r="J8" s="16" t="inlineStr">
        <is>
          <t>Meera Trivedi</t>
        </is>
      </c>
      <c r="L8" s="16" t="n"/>
      <c r="M8" s="17" t="n"/>
      <c r="N8" s="16" t="n"/>
    </row>
    <row r="9">
      <c r="A9" s="16" t="n">
        <v>108</v>
      </c>
      <c r="B9" s="16" t="str">
        <f>VLOOKUP(A9,$I$2:$J$13,2,FALSE)</f>
        <v>Naina Modi</v>
      </c>
      <c r="C9" s="16" t="n">
        <v>35</v>
      </c>
      <c r="D9" s="16" t="n">
        <v>40</v>
      </c>
      <c r="E9" s="17">
        <f>AVERAGE(C9:D9)</f>
        <v>37.5</v>
      </c>
      <c r="F9" s="16" t="str">
        <f>IF(E9&gt;=90,"A",IF(E9&gt;=75,"B",IF(E9&gt;=60,"C",IF(E9&gt;=40,"D","Fail"))))</f>
        <v>Fail</v>
      </c>
      <c r="G9" s="16" t="str">
        <f>IF(AND(C9&gt;80,D9&gt;80),"Yes","No")</f>
        <v>No</v>
      </c>
      <c r="I9" s="16" t="n">
        <v>105</v>
      </c>
      <c r="J9" s="16" t="inlineStr">
        <is>
          <t>Rohan Desai</t>
        </is>
      </c>
      <c r="L9" s="16" t="n"/>
      <c r="M9" s="17" t="n"/>
      <c r="N9" s="16" t="n"/>
    </row>
    <row r="10">
      <c r="A10" s="16" t="n">
        <v>109</v>
      </c>
      <c r="B10" s="16" t="str">
        <f>VLOOKUP(A10,$I$2:$J$13,2,FALSE)</f>
        <v>Hetvi Vyas</v>
      </c>
      <c r="C10" s="16" t="n">
        <v>95</v>
      </c>
      <c r="D10" s="16" t="n">
        <v>97</v>
      </c>
      <c r="E10" s="17">
        <f>AVERAGE(C10:D10)</f>
        <v>96</v>
      </c>
      <c r="F10" s="16" t="str">
        <f>IF(E10&gt;=90,"A",IF(E10&gt;=75,"B",IF(E10&gt;=60,"C",IF(E10&gt;=40,"D","Fail"))))</f>
        <v>A</v>
      </c>
      <c r="G10" s="16" t="str">
        <f>IF(AND(C10&gt;80,D10&gt;80),"Yes","No")</f>
        <v>Yes</v>
      </c>
      <c r="I10" s="16" t="n">
        <v>104</v>
      </c>
      <c r="J10" s="16" t="inlineStr">
        <is>
          <t>Isha Joshi</t>
        </is>
      </c>
      <c r="L10" s="16" t="n"/>
      <c r="M10" s="17" t="n"/>
      <c r="N10" s="16" t="n"/>
    </row>
    <row r="11">
      <c r="A11" s="16" t="n">
        <v>110</v>
      </c>
      <c r="B11" s="16" t="str">
        <f>VLOOKUP(A11,$I$2:$J$13,2,FALSE)</f>
        <v>Jay Thakkar</v>
      </c>
      <c r="C11" s="16" t="n">
        <v>61</v>
      </c>
      <c r="D11" s="16" t="n">
        <v>58</v>
      </c>
      <c r="E11" s="17">
        <f>AVERAGE(C11:D11)</f>
        <v>59.5</v>
      </c>
      <c r="F11" s="16" t="str">
        <f>IF(E11&gt;=90,"A",IF(E11&gt;=75,"B",IF(E11&gt;=60,"C",IF(E11&gt;=40,"D","Fail"))))</f>
        <v>D</v>
      </c>
      <c r="G11" s="16" t="str">
        <f>IF(AND(C11&gt;80,D11&gt;80),"Yes","No")</f>
        <v>No</v>
      </c>
      <c r="I11" s="16" t="n">
        <v>103</v>
      </c>
      <c r="J11" s="16" t="inlineStr">
        <is>
          <t>Kabir Mehta</t>
        </is>
      </c>
      <c r="L11" s="16" t="n"/>
      <c r="M11" s="17" t="n"/>
      <c r="N11" s="16" t="n"/>
    </row>
    <row r="12">
      <c r="A12" s="16" t="n">
        <v>111</v>
      </c>
      <c r="B12" s="16" t="str">
        <f>VLOOKUP(A12,$I$2:$J$13,2,FALSE)</f>
        <v>Krish Bhatt</v>
      </c>
      <c r="C12" s="16" t="n">
        <v>74</v>
      </c>
      <c r="D12" s="16" t="n">
        <v>69</v>
      </c>
      <c r="E12" s="17">
        <f>AVERAGE(C12:D12)</f>
        <v>71.5</v>
      </c>
      <c r="F12" s="16" t="str">
        <f>IF(E12&gt;=90,"A",IF(E12&gt;=75,"B",IF(E12&gt;=60,"C",IF(E12&gt;=40,"D","Fail"))))</f>
        <v>C</v>
      </c>
      <c r="G12" s="16" t="str">
        <f>IF(AND(C12&gt;80,D12&gt;80),"Yes","No")</f>
        <v>No</v>
      </c>
      <c r="I12" s="16" t="n">
        <v>102</v>
      </c>
      <c r="J12" s="16" t="inlineStr">
        <is>
          <t>Diya Patel</t>
        </is>
      </c>
      <c r="L12" s="16" t="n"/>
      <c r="M12" s="17" t="n"/>
      <c r="N12" s="16" t="n"/>
    </row>
    <row r="13">
      <c r="A13" s="16" t="n">
        <v>112</v>
      </c>
      <c r="B13" s="16" t="str">
        <f>VLOOKUP(A13,$I$2:$J$13,2,FALSE)</f>
        <v>Pooja Rana</v>
      </c>
      <c r="C13" s="16" t="n">
        <v>84</v>
      </c>
      <c r="D13" s="16" t="n">
        <v>79</v>
      </c>
      <c r="E13" s="17">
        <f>AVERAGE(C13:D13)</f>
        <v>81.5</v>
      </c>
      <c r="F13" s="16" t="str">
        <f>IF(E13&gt;=90,"A",IF(E13&gt;=75,"B",IF(E13&gt;=60,"C",IF(E13&gt;=40,"D","Fail"))))</f>
        <v>B</v>
      </c>
      <c r="G13" s="16" t="str">
        <f>IF(AND(C13&gt;80,D13&gt;80),"Yes","No")</f>
        <v>No</v>
      </c>
      <c r="I13" s="16" t="n">
        <v>101</v>
      </c>
      <c r="J13" s="16" t="inlineStr">
        <is>
          <t>Aarav Shah</t>
        </is>
      </c>
      <c r="L13" s="16" t="n"/>
      <c r="M13" s="17" t="n"/>
      <c r="N13" s="16" t="n"/>
    </row>
    <row r="15">
      <c r="L15" s="18" t="inlineStr">
        <is>
          <t>Students with average above 80 (FILTER)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8" customWidth="1" min="4" max="4"/>
    <col width="9" customWidth="1" min="5" max="5"/>
    <col width="6" customWidth="1" min="6" max="6"/>
    <col width="10" customWidth="1" min="7" max="7"/>
    <col width="11" customWidth="1" min="8" max="8"/>
    <col width="10" customWidth="1" min="9" max="9"/>
    <col width="13" customWidth="1" min="10" max="10"/>
    <col width="10" customWidth="1" min="11" max="11"/>
    <col width="3" customWidth="1" min="12" max="12"/>
    <col width="7" customWidth="1" min="13" max="13"/>
    <col width="10" customWidth="1" min="14" max="14"/>
    <col width="10" customWidth="1" min="15" max="15"/>
    <col width="3" customWidth="1" min="16" max="16"/>
    <col width="12" customWidth="1" min="17" max="17"/>
    <col width="10" customWidth="1" min="18" max="18"/>
    <col width="10" customWidth="1" min="19" max="19"/>
    <col width="10" customWidth="1" min="20" max="20"/>
    <col width="11" customWidth="1" min="21" max="21"/>
  </cols>
  <sheetData>
    <row r="1" ht="32" customHeight="1">
      <c r="A1" s="6" t="inlineStr">
        <is>
          <t>Order ID</t>
        </is>
      </c>
      <c r="B1" s="6" t="inlineStr">
        <is>
          <t>Salesperson</t>
        </is>
      </c>
      <c r="C1" s="6" t="inlineStr">
        <is>
          <t>Month</t>
        </is>
      </c>
      <c r="D1" s="6" t="inlineStr">
        <is>
          <t>Region</t>
        </is>
      </c>
      <c r="E1" s="6" t="inlineStr">
        <is>
          <t>Product Code</t>
        </is>
      </c>
      <c r="F1" s="6" t="inlineStr">
        <is>
          <t>Qty</t>
        </is>
      </c>
      <c r="G1" s="6" t="inlineStr">
        <is>
          <t>Price</t>
        </is>
      </c>
      <c r="H1" s="6" t="inlineStr">
        <is>
          <t>Total</t>
        </is>
      </c>
      <c r="I1" s="6" t="inlineStr">
        <is>
          <t>Discount %</t>
        </is>
      </c>
      <c r="J1" s="6" t="inlineStr">
        <is>
          <t>Discount Eligible</t>
        </is>
      </c>
      <c r="K1" s="6" t="inlineStr">
        <is>
          <t>GST</t>
        </is>
      </c>
      <c r="M1" s="6" t="inlineStr">
        <is>
          <t>Code</t>
        </is>
      </c>
      <c r="N1" s="6" t="inlineStr">
        <is>
          <t>Product</t>
        </is>
      </c>
      <c r="O1" s="6" t="inlineStr">
        <is>
          <t>Price</t>
        </is>
      </c>
      <c r="Q1" s="6" t="inlineStr">
        <is>
          <t>Salesperson</t>
        </is>
      </c>
      <c r="R1" s="6" t="inlineStr">
        <is>
          <t>Jan</t>
        </is>
      </c>
      <c r="S1" s="6" t="inlineStr">
        <is>
          <t>Feb</t>
        </is>
      </c>
      <c r="T1" s="6" t="inlineStr">
        <is>
          <t>Mar</t>
        </is>
      </c>
      <c r="U1" s="6" t="inlineStr">
        <is>
          <t>Total</t>
        </is>
      </c>
    </row>
    <row r="2">
      <c r="A2" s="16" t="n">
        <v>1001</v>
      </c>
      <c r="B2" s="16" t="inlineStr">
        <is>
          <t>Riya</t>
        </is>
      </c>
      <c r="C2" s="16" t="inlineStr">
        <is>
          <t>Jan</t>
        </is>
      </c>
      <c r="D2" s="16" t="inlineStr">
        <is>
          <t>West</t>
        </is>
      </c>
      <c r="E2" s="16" t="inlineStr">
        <is>
          <t>P01</t>
        </is>
      </c>
      <c r="F2" s="16" t="n">
        <v>3</v>
      </c>
      <c r="G2" s="19">
        <f>VLOOKUP(E2,$M$2:$O$6,3,FALSE)</f>
        <v>45000</v>
      </c>
      <c r="H2" s="19">
        <f>F2*G2</f>
        <v>135000</v>
      </c>
      <c r="I2" s="20">
        <f>IF(H2&gt;100000,10%,IF(H2&gt;20000,5%,0))</f>
        <v>0.1</v>
      </c>
      <c r="J2" s="16" t="str">
        <f>IF(OR(H2&gt;50000,F2&gt;=10),"Eligible","Not eligible")</f>
        <v>Eligible</v>
      </c>
      <c r="K2" s="19">
        <f>H2*$R$8</f>
        <v>24300</v>
      </c>
      <c r="M2" s="16" t="inlineStr">
        <is>
          <t>P01</t>
        </is>
      </c>
      <c r="N2" s="16" t="inlineStr">
        <is>
          <t>Laptop</t>
        </is>
      </c>
      <c r="O2" s="19" t="n">
        <v>45000</v>
      </c>
      <c r="Q2" s="16" t="inlineStr">
        <is>
          <t>Riya</t>
        </is>
      </c>
      <c r="R2" s="19">
        <f>SUMIFS($H$2:$H$13,$B$2:$B$13,$Q2,$C$2:$C$13,R$1)</f>
        <v>135000</v>
      </c>
      <c r="S2" s="19">
        <f>SUMIFS($H$2:$H$13,$B$2:$B$13,$Q2,$C$2:$C$13,S$1)</f>
        <v>60000</v>
      </c>
      <c r="T2" s="19">
        <f>SUMIFS($H$2:$H$13,$B$2:$B$13,$Q2,$C$2:$C$13,T$1)</f>
        <v>315000</v>
      </c>
      <c r="U2" s="19">
        <f>SUM(R2:T2)</f>
        <v>510000</v>
      </c>
    </row>
    <row r="3">
      <c r="A3" s="16" t="n">
        <v>1002</v>
      </c>
      <c r="B3" s="16" t="inlineStr">
        <is>
          <t>Karan</t>
        </is>
      </c>
      <c r="C3" s="16" t="inlineStr">
        <is>
          <t>Jan</t>
        </is>
      </c>
      <c r="D3" s="16" t="inlineStr">
        <is>
          <t>East</t>
        </is>
      </c>
      <c r="E3" s="16" t="inlineStr">
        <is>
          <t>P02</t>
        </is>
      </c>
      <c r="F3" s="16" t="n">
        <v>12</v>
      </c>
      <c r="G3" s="19">
        <f>VLOOKUP(E3,$M$2:$O$6,3,FALSE)</f>
        <v>500</v>
      </c>
      <c r="H3" s="19">
        <f>F3*G3</f>
        <v>6000</v>
      </c>
      <c r="I3" s="20">
        <f>IF(H3&gt;100000,10%,IF(H3&gt;20000,5%,0))</f>
        <v>0</v>
      </c>
      <c r="J3" s="16" t="str">
        <f>IF(OR(H3&gt;50000,F3&gt;=10),"Eligible","Not eligible")</f>
        <v>Eligible</v>
      </c>
      <c r="K3" s="19">
        <f>H3*$R$8</f>
        <v>1080</v>
      </c>
      <c r="M3" s="16" t="inlineStr">
        <is>
          <t>P02</t>
        </is>
      </c>
      <c r="N3" s="16" t="inlineStr">
        <is>
          <t>Mouse</t>
        </is>
      </c>
      <c r="O3" s="19" t="n">
        <v>500</v>
      </c>
      <c r="Q3" s="16" t="inlineStr">
        <is>
          <t>Karan</t>
        </is>
      </c>
      <c r="R3" s="19">
        <f>SUMIFS($H$2:$H$13,$B$2:$B$13,$Q3,$C$2:$C$13,R$1)</f>
        <v>6000</v>
      </c>
      <c r="S3" s="19">
        <f>SUMIFS($H$2:$H$13,$B$2:$B$13,$Q3,$C$2:$C$13,S$1)</f>
        <v>5000</v>
      </c>
      <c r="T3" s="19">
        <f>SUMIFS($H$2:$H$13,$B$2:$B$13,$Q3,$C$2:$C$13,T$1)</f>
        <v>22500</v>
      </c>
      <c r="U3" s="19">
        <f>SUM(R3:T3)</f>
        <v>33500</v>
      </c>
    </row>
    <row r="4">
      <c r="A4" s="16" t="n">
        <v>1003</v>
      </c>
      <c r="B4" s="16" t="inlineStr">
        <is>
          <t>Riya</t>
        </is>
      </c>
      <c r="C4" s="16" t="inlineStr">
        <is>
          <t>Feb</t>
        </is>
      </c>
      <c r="D4" s="16" t="inlineStr">
        <is>
          <t>West</t>
        </is>
      </c>
      <c r="E4" s="16" t="inlineStr">
        <is>
          <t>P03</t>
        </is>
      </c>
      <c r="F4" s="16" t="n">
        <v>5</v>
      </c>
      <c r="G4" s="19">
        <f>VLOOKUP(E4,$M$2:$O$6,3,FALSE)</f>
        <v>12000</v>
      </c>
      <c r="H4" s="19">
        <f>F4*G4</f>
        <v>60000</v>
      </c>
      <c r="I4" s="20">
        <f>IF(H4&gt;100000,10%,IF(H4&gt;20000,5%,0))</f>
        <v>0.05</v>
      </c>
      <c r="J4" s="16" t="str">
        <f>IF(OR(H4&gt;50000,F4&gt;=10),"Eligible","Not eligible")</f>
        <v>Eligible</v>
      </c>
      <c r="K4" s="19">
        <f>H4*$R$8</f>
        <v>10800</v>
      </c>
      <c r="M4" s="16" t="inlineStr">
        <is>
          <t>P03</t>
        </is>
      </c>
      <c r="N4" s="16" t="inlineStr">
        <is>
          <t>Monitor</t>
        </is>
      </c>
      <c r="O4" s="19" t="n">
        <v>12000</v>
      </c>
      <c r="Q4" s="16" t="inlineStr">
        <is>
          <t>Neha</t>
        </is>
      </c>
      <c r="R4" s="19">
        <f>SUMIFS($H$2:$H$13,$B$2:$B$13,$Q4,$C$2:$C$13,R$1)</f>
        <v>180000</v>
      </c>
      <c r="S4" s="19">
        <f>SUMIFS($H$2:$H$13,$B$2:$B$13,$Q4,$C$2:$C$13,S$1)</f>
        <v>360000</v>
      </c>
      <c r="T4" s="19">
        <f>SUMIFS($H$2:$H$13,$B$2:$B$13,$Q4,$C$2:$C$13,T$1)</f>
        <v>48000</v>
      </c>
      <c r="U4" s="19">
        <f>SUM(R4:T4)</f>
        <v>588000</v>
      </c>
    </row>
    <row r="5">
      <c r="A5" s="16" t="n">
        <v>1004</v>
      </c>
      <c r="B5" s="16" t="inlineStr">
        <is>
          <t>Neha</t>
        </is>
      </c>
      <c r="C5" s="16" t="inlineStr">
        <is>
          <t>Feb</t>
        </is>
      </c>
      <c r="D5" s="16" t="inlineStr">
        <is>
          <t>North</t>
        </is>
      </c>
      <c r="E5" s="16" t="inlineStr">
        <is>
          <t>P01</t>
        </is>
      </c>
      <c r="F5" s="16" t="n">
        <v>8</v>
      </c>
      <c r="G5" s="19">
        <f>VLOOKUP(E5,$M$2:$O$6,3,FALSE)</f>
        <v>45000</v>
      </c>
      <c r="H5" s="19">
        <f>F5*G5</f>
        <v>360000</v>
      </c>
      <c r="I5" s="20">
        <f>IF(H5&gt;100000,10%,IF(H5&gt;20000,5%,0))</f>
        <v>0.1</v>
      </c>
      <c r="J5" s="16" t="str">
        <f>IF(OR(H5&gt;50000,F5&gt;=10),"Eligible","Not eligible")</f>
        <v>Eligible</v>
      </c>
      <c r="K5" s="19">
        <f>H5*$R$8</f>
        <v>64800</v>
      </c>
      <c r="M5" s="16" t="inlineStr">
        <is>
          <t>P04</t>
        </is>
      </c>
      <c r="N5" s="16" t="inlineStr">
        <is>
          <t>Keyboard</t>
        </is>
      </c>
      <c r="O5" s="19" t="n">
        <v>1500</v>
      </c>
      <c r="Q5" s="16" t="inlineStr">
        <is>
          <t>Amit</t>
        </is>
      </c>
      <c r="R5" s="19">
        <f>SUMIFS($H$2:$H$13,$B$2:$B$13,$Q5,$C$2:$C$13,R$1)</f>
        <v>12000</v>
      </c>
      <c r="S5" s="19">
        <f>SUMIFS($H$2:$H$13,$B$2:$B$13,$Q5,$C$2:$C$13,S$1)</f>
        <v>90000</v>
      </c>
      <c r="T5" s="19">
        <f>SUMIFS($H$2:$H$13,$B$2:$B$13,$Q5,$C$2:$C$13,T$1)</f>
        <v>3000</v>
      </c>
      <c r="U5" s="19">
        <f>SUM(R5:T5)</f>
        <v>105000</v>
      </c>
    </row>
    <row r="6">
      <c r="A6" s="16" t="n">
        <v>1005</v>
      </c>
      <c r="B6" s="16" t="inlineStr">
        <is>
          <t>Amit</t>
        </is>
      </c>
      <c r="C6" s="16" t="inlineStr">
        <is>
          <t>Mar</t>
        </is>
      </c>
      <c r="D6" s="16" t="inlineStr">
        <is>
          <t>West</t>
        </is>
      </c>
      <c r="E6" s="16" t="inlineStr">
        <is>
          <t>P04</t>
        </is>
      </c>
      <c r="F6" s="16" t="n">
        <v>2</v>
      </c>
      <c r="G6" s="19">
        <f>VLOOKUP(E6,$M$2:$O$6,3,FALSE)</f>
        <v>1500</v>
      </c>
      <c r="H6" s="19">
        <f>F6*G6</f>
        <v>3000</v>
      </c>
      <c r="I6" s="20">
        <f>IF(H6&gt;100000,10%,IF(H6&gt;20000,5%,0))</f>
        <v>0</v>
      </c>
      <c r="J6" s="16" t="str">
        <f>IF(OR(H6&gt;50000,F6&gt;=10),"Eligible","Not eligible")</f>
        <v>Not eligible</v>
      </c>
      <c r="K6" s="19">
        <f>H6*$R$8</f>
        <v>540</v>
      </c>
      <c r="M6" s="16" t="inlineStr">
        <is>
          <t>P05</t>
        </is>
      </c>
      <c r="N6" s="16" t="inlineStr">
        <is>
          <t>Printer</t>
        </is>
      </c>
      <c r="O6" s="19" t="n">
        <v>8000</v>
      </c>
    </row>
    <row r="7">
      <c r="A7" s="16" t="n">
        <v>1006</v>
      </c>
      <c r="B7" s="16" t="inlineStr">
        <is>
          <t>Karan</t>
        </is>
      </c>
      <c r="C7" s="16" t="inlineStr">
        <is>
          <t>Feb</t>
        </is>
      </c>
      <c r="D7" s="16" t="inlineStr">
        <is>
          <t>West</t>
        </is>
      </c>
      <c r="E7" s="16" t="inlineStr">
        <is>
          <t>P02</t>
        </is>
      </c>
      <c r="F7" s="16" t="n">
        <v>10</v>
      </c>
      <c r="G7" s="19">
        <f>VLOOKUP(E7,$M$2:$O$6,3,FALSE)</f>
        <v>500</v>
      </c>
      <c r="H7" s="19">
        <f>F7*G7</f>
        <v>5000</v>
      </c>
      <c r="I7" s="20">
        <f>IF(H7&gt;100000,10%,IF(H7&gt;20000,5%,0))</f>
        <v>0</v>
      </c>
      <c r="J7" s="16" t="str">
        <f>IF(OR(H7&gt;50000,F7&gt;=10),"Eligible","Not eligible")</f>
        <v>Eligible</v>
      </c>
      <c r="K7" s="19">
        <f>H7*$R$8</f>
        <v>900</v>
      </c>
    </row>
    <row r="8">
      <c r="A8" s="16" t="n">
        <v>1007</v>
      </c>
      <c r="B8" s="16" t="inlineStr">
        <is>
          <t>Neha</t>
        </is>
      </c>
      <c r="C8" s="16" t="inlineStr">
        <is>
          <t>Mar</t>
        </is>
      </c>
      <c r="D8" s="16" t="inlineStr">
        <is>
          <t>East</t>
        </is>
      </c>
      <c r="E8" s="16" t="inlineStr">
        <is>
          <t>P05</t>
        </is>
      </c>
      <c r="F8" s="16" t="n">
        <v>6</v>
      </c>
      <c r="G8" s="19">
        <f>VLOOKUP(E8,$M$2:$O$6,3,FALSE)</f>
        <v>8000</v>
      </c>
      <c r="H8" s="19">
        <f>F8*G8</f>
        <v>48000</v>
      </c>
      <c r="I8" s="20">
        <f>IF(H8&gt;100000,10%,IF(H8&gt;20000,5%,0))</f>
        <v>0.05</v>
      </c>
      <c r="J8" s="16" t="str">
        <f>IF(OR(H8&gt;50000,F8&gt;=10),"Eligible","Not eligible")</f>
        <v>Not eligible</v>
      </c>
      <c r="K8" s="19">
        <f>H8*$R$8</f>
        <v>8640</v>
      </c>
      <c r="Q8" s="16" t="inlineStr">
        <is>
          <t>GST Rate</t>
        </is>
      </c>
      <c r="R8" s="20" t="n">
        <v>0.18</v>
      </c>
    </row>
    <row r="9">
      <c r="A9" s="16" t="n">
        <v>1008</v>
      </c>
      <c r="B9" s="16" t="inlineStr">
        <is>
          <t>Amit</t>
        </is>
      </c>
      <c r="C9" s="16" t="inlineStr">
        <is>
          <t>Jan</t>
        </is>
      </c>
      <c r="D9" s="16" t="inlineStr">
        <is>
          <t>North</t>
        </is>
      </c>
      <c r="E9" s="16" t="inlineStr">
        <is>
          <t>P03</t>
        </is>
      </c>
      <c r="F9" s="16" t="n">
        <v>1</v>
      </c>
      <c r="G9" s="19">
        <f>VLOOKUP(E9,$M$2:$O$6,3,FALSE)</f>
        <v>12000</v>
      </c>
      <c r="H9" s="19">
        <f>F9*G9</f>
        <v>12000</v>
      </c>
      <c r="I9" s="20">
        <f>IF(H9&gt;100000,10%,IF(H9&gt;20000,5%,0))</f>
        <v>0</v>
      </c>
      <c r="J9" s="16" t="str">
        <f>IF(OR(H9&gt;50000,F9&gt;=10),"Eligible","Not eligible")</f>
        <v>Not eligible</v>
      </c>
      <c r="K9" s="19">
        <f>H9*$R$8</f>
        <v>2160</v>
      </c>
    </row>
    <row r="10">
      <c r="A10" s="16" t="n">
        <v>1009</v>
      </c>
      <c r="B10" s="16" t="inlineStr">
        <is>
          <t>Riya</t>
        </is>
      </c>
      <c r="C10" s="16" t="inlineStr">
        <is>
          <t>Mar</t>
        </is>
      </c>
      <c r="D10" s="16" t="inlineStr">
        <is>
          <t>West</t>
        </is>
      </c>
      <c r="E10" s="16" t="inlineStr">
        <is>
          <t>P01</t>
        </is>
      </c>
      <c r="F10" s="16" t="n">
        <v>7</v>
      </c>
      <c r="G10" s="19">
        <f>VLOOKUP(E10,$M$2:$O$6,3,FALSE)</f>
        <v>45000</v>
      </c>
      <c r="H10" s="19">
        <f>F10*G10</f>
        <v>315000</v>
      </c>
      <c r="I10" s="20">
        <f>IF(H10&gt;100000,10%,IF(H10&gt;20000,5%,0))</f>
        <v>0.1</v>
      </c>
      <c r="J10" s="16" t="str">
        <f>IF(OR(H10&gt;50000,F10&gt;=10),"Eligible","Not eligible")</f>
        <v>Eligible</v>
      </c>
      <c r="K10" s="19">
        <f>H10*$R$8</f>
        <v>56700</v>
      </c>
    </row>
    <row r="11">
      <c r="A11" s="16" t="n">
        <v>1010</v>
      </c>
      <c r="B11" s="16" t="inlineStr">
        <is>
          <t>Karan</t>
        </is>
      </c>
      <c r="C11" s="16" t="inlineStr">
        <is>
          <t>Mar</t>
        </is>
      </c>
      <c r="D11" s="16" t="inlineStr">
        <is>
          <t>East</t>
        </is>
      </c>
      <c r="E11" s="16" t="inlineStr">
        <is>
          <t>P04</t>
        </is>
      </c>
      <c r="F11" s="16" t="n">
        <v>15</v>
      </c>
      <c r="G11" s="19">
        <f>VLOOKUP(E11,$M$2:$O$6,3,FALSE)</f>
        <v>1500</v>
      </c>
      <c r="H11" s="19">
        <f>F11*G11</f>
        <v>22500</v>
      </c>
      <c r="I11" s="20">
        <f>IF(H11&gt;100000,10%,IF(H11&gt;20000,5%,0))</f>
        <v>0.05</v>
      </c>
      <c r="J11" s="16" t="str">
        <f>IF(OR(H11&gt;50000,F11&gt;=10),"Eligible","Not eligible")</f>
        <v>Eligible</v>
      </c>
      <c r="K11" s="19">
        <f>H11*$R$8</f>
        <v>4050</v>
      </c>
    </row>
    <row r="12">
      <c r="A12" s="16" t="n">
        <v>1011</v>
      </c>
      <c r="B12" s="16" t="inlineStr">
        <is>
          <t>Neha</t>
        </is>
      </c>
      <c r="C12" s="16" t="inlineStr">
        <is>
          <t>Jan</t>
        </is>
      </c>
      <c r="D12" s="16" t="inlineStr">
        <is>
          <t>West</t>
        </is>
      </c>
      <c r="E12" s="16" t="inlineStr">
        <is>
          <t>P01</t>
        </is>
      </c>
      <c r="F12" s="16" t="n">
        <v>4</v>
      </c>
      <c r="G12" s="19">
        <f>VLOOKUP(E12,$M$2:$O$6,3,FALSE)</f>
        <v>45000</v>
      </c>
      <c r="H12" s="19">
        <f>F12*G12</f>
        <v>180000</v>
      </c>
      <c r="I12" s="20">
        <f>IF(H12&gt;100000,10%,IF(H12&gt;20000,5%,0))</f>
        <v>0.1</v>
      </c>
      <c r="J12" s="16" t="str">
        <f>IF(OR(H12&gt;50000,F12&gt;=10),"Eligible","Not eligible")</f>
        <v>Eligible</v>
      </c>
      <c r="K12" s="19">
        <f>H12*$R$8</f>
        <v>32400</v>
      </c>
    </row>
    <row r="13">
      <c r="A13" s="16" t="n">
        <v>1012</v>
      </c>
      <c r="B13" s="16" t="inlineStr">
        <is>
          <t>Amit</t>
        </is>
      </c>
      <c r="C13" s="16" t="inlineStr">
        <is>
          <t>Feb</t>
        </is>
      </c>
      <c r="D13" s="16" t="inlineStr">
        <is>
          <t>West</t>
        </is>
      </c>
      <c r="E13" s="16" t="inlineStr">
        <is>
          <t>P01</t>
        </is>
      </c>
      <c r="F13" s="16" t="n">
        <v>2</v>
      </c>
      <c r="G13" s="19">
        <f>VLOOKUP(E13,$M$2:$O$6,3,FALSE)</f>
        <v>45000</v>
      </c>
      <c r="H13" s="19">
        <f>F13*G13</f>
        <v>90000</v>
      </c>
      <c r="I13" s="20">
        <f>IF(H13&gt;100000,10%,IF(H13&gt;20000,5%,0))</f>
        <v>0.05</v>
      </c>
      <c r="J13" s="16" t="str">
        <f>IF(OR(H13&gt;50000,F13&gt;=10),"Eligible","Not eligible")</f>
        <v>Eligible</v>
      </c>
      <c r="K13" s="19">
        <f>H13*$R$8</f>
        <v>16200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14" customWidth="1" min="5" max="5"/>
    <col width="13" customWidth="1" min="6" max="6"/>
    <col width="6" customWidth="1" min="7" max="7"/>
    <col width="10" customWidth="1" min="8" max="8"/>
    <col width="12" customWidth="1" min="9" max="9"/>
    <col width="11" customWidth="1" min="10" max="10"/>
    <col width="15" customWidth="1" min="11" max="11"/>
    <col width="15" customWidth="1" min="12" max="12"/>
    <col width="3" customWidth="1" min="13" max="13"/>
    <col width="8" customWidth="1" min="14" max="14"/>
    <col width="13" customWidth="1" min="15" max="15"/>
  </cols>
  <sheetData>
    <row r="1" ht="32" customHeight="1">
      <c r="A1" s="6" t="inlineStr">
        <is>
          <t>Emp ID</t>
        </is>
      </c>
      <c r="B1" s="6" t="inlineStr">
        <is>
          <t>Full Name</t>
        </is>
      </c>
      <c r="C1" s="6" t="inlineStr">
        <is>
          <t>Department</t>
        </is>
      </c>
      <c r="D1" s="6" t="inlineStr">
        <is>
          <t>Date of Birth</t>
        </is>
      </c>
      <c r="E1" s="6" t="inlineStr">
        <is>
          <t>Date of Joining</t>
        </is>
      </c>
      <c r="F1" s="6" t="inlineStr">
        <is>
          <t>Salary</t>
        </is>
      </c>
      <c r="G1" s="6" t="inlineStr">
        <is>
          <t>Age</t>
        </is>
      </c>
      <c r="H1" s="6" t="inlineStr">
        <is>
          <t>Tenure (Years)</t>
        </is>
      </c>
      <c r="I1" s="6" t="inlineStr">
        <is>
          <t>Days Since Joining</t>
        </is>
      </c>
      <c r="J1" s="6" t="inlineStr">
        <is>
          <t>First Name</t>
        </is>
      </c>
      <c r="K1" s="6" t="inlineStr">
        <is>
          <t>Name UPPER</t>
        </is>
      </c>
      <c r="L1" s="6" t="inlineStr">
        <is>
          <t>Name lower</t>
        </is>
      </c>
      <c r="N1" s="6" t="inlineStr">
        <is>
          <t>Emp ID</t>
        </is>
      </c>
      <c r="O1" s="6" t="inlineStr">
        <is>
          <t>Salary</t>
        </is>
      </c>
    </row>
    <row r="2">
      <c r="A2" s="16" t="n">
        <v>1</v>
      </c>
      <c r="B2" s="16" t="inlineStr">
        <is>
          <t>Amit Sharma</t>
        </is>
      </c>
      <c r="C2" s="16" t="inlineStr">
        <is>
          <t>Sales</t>
        </is>
      </c>
      <c r="D2" s="21" t="n">
        <v>33675</v>
      </c>
      <c r="E2" s="21" t="n">
        <v>43631</v>
      </c>
      <c r="F2" s="22">
        <f>_xlfn.XLOOKUP(A2,$N$2:$N$7,$O$2:$O$7,"Not found")</f>
        <v>52340.75</v>
      </c>
      <c r="G2" s="16">
        <f>DATEDIF(D2,TODAY(),"Y")</f>
        <v>34</v>
      </c>
      <c r="H2" s="16">
        <f>DATEDIF(E2,TODAY(),"Y")</f>
        <v>7</v>
      </c>
      <c r="I2" s="23">
        <f>TODAY()-E2</f>
        <v>2671</v>
      </c>
      <c r="J2" s="16" t="str">
        <f>LEFT(B2,FIND(" ",B2)-1)</f>
        <v>Amit</v>
      </c>
      <c r="K2" s="16" t="str">
        <f>UPPER(B2)</f>
        <v>AMIT SHARMA</v>
      </c>
      <c r="L2" s="16" t="str">
        <f>LOWER(B2)</f>
        <v>amit sharma</v>
      </c>
      <c r="N2" s="16" t="n">
        <v>4</v>
      </c>
      <c r="O2" s="22" t="n">
        <v>75000.5</v>
      </c>
    </row>
    <row r="3">
      <c r="A3" s="16" t="n">
        <v>2</v>
      </c>
      <c r="B3" s="16" t="inlineStr">
        <is>
          <t>Bhavna Patel</t>
        </is>
      </c>
      <c r="C3" s="16" t="inlineStr">
        <is>
          <t>HR</t>
        </is>
      </c>
      <c r="D3" s="21" t="n">
        <v>34905</v>
      </c>
      <c r="E3" s="21" t="n">
        <v>44228</v>
      </c>
      <c r="F3" s="22">
        <f>_xlfn.XLOOKUP(A3,$N$2:$N$7,$O$2:$O$7,"Not found")</f>
        <v>61000.4</v>
      </c>
      <c r="G3" s="16">
        <f>DATEDIF(D3,TODAY(),"Y")</f>
        <v>31</v>
      </c>
      <c r="H3" s="16">
        <f>DATEDIF(E3,TODAY(),"Y")</f>
        <v>5</v>
      </c>
      <c r="I3" s="23">
        <f>TODAY()-E3</f>
        <v>2074</v>
      </c>
      <c r="J3" s="16" t="str">
        <f>LEFT(B3,FIND(" ",B3)-1)</f>
        <v>Bhavna</v>
      </c>
      <c r="K3" s="16" t="str">
        <f>UPPER(B3)</f>
        <v>BHAVNA PATEL</v>
      </c>
      <c r="L3" s="16" t="str">
        <f>LOWER(B3)</f>
        <v>bhavna patel</v>
      </c>
      <c r="N3" s="16" t="n">
        <v>1</v>
      </c>
      <c r="O3" s="22" t="n">
        <v>52340.75</v>
      </c>
    </row>
    <row r="4">
      <c r="A4" s="16" t="n">
        <v>3</v>
      </c>
      <c r="B4" s="16" t="inlineStr">
        <is>
          <t>Chirag Shah</t>
        </is>
      </c>
      <c r="C4" s="16" t="inlineStr">
        <is>
          <t>IT</t>
        </is>
      </c>
      <c r="D4" s="21" t="n">
        <v>33179</v>
      </c>
      <c r="E4" s="21" t="n">
        <v>44158</v>
      </c>
      <c r="F4" s="22">
        <f>_xlfn.XLOOKUP(A4,$N$2:$N$7,$O$2:$O$7,"Not found")</f>
        <v>48200.6</v>
      </c>
      <c r="G4" s="16">
        <f>DATEDIF(D4,TODAY(),"Y")</f>
        <v>35</v>
      </c>
      <c r="H4" s="16">
        <f>DATEDIF(E4,TODAY(),"Y")</f>
        <v>5</v>
      </c>
      <c r="I4" s="23">
        <f>TODAY()-E4</f>
        <v>2144</v>
      </c>
      <c r="J4" s="16" t="str">
        <f>LEFT(B4,FIND(" ",B4)-1)</f>
        <v>Chirag</v>
      </c>
      <c r="K4" s="16" t="str">
        <f>UPPER(B4)</f>
        <v>CHIRAG SHAH</v>
      </c>
      <c r="L4" s="16" t="str">
        <f>LOWER(B4)</f>
        <v>chirag shah</v>
      </c>
      <c r="N4" s="16" t="n">
        <v>6</v>
      </c>
      <c r="O4" s="22" t="n">
        <v>43120.2</v>
      </c>
    </row>
    <row r="5">
      <c r="A5" s="16" t="n">
        <v>4</v>
      </c>
      <c r="B5" s="16" t="inlineStr">
        <is>
          <t>Disha Mehta</t>
        </is>
      </c>
      <c r="C5" s="16" t="inlineStr">
        <is>
          <t>Finance</t>
        </is>
      </c>
      <c r="D5" s="21" t="n">
        <v>35448</v>
      </c>
      <c r="E5" s="21" t="n">
        <v>44782</v>
      </c>
      <c r="F5" s="22">
        <f>_xlfn.XLOOKUP(A5,$N$2:$N$7,$O$2:$O$7,"Not found")</f>
        <v>75000.5</v>
      </c>
      <c r="G5" s="16">
        <f>DATEDIF(D5,TODAY(),"Y")</f>
        <v>29</v>
      </c>
      <c r="H5" s="16">
        <f>DATEDIF(E5,TODAY(),"Y")</f>
        <v>4</v>
      </c>
      <c r="I5" s="23">
        <f>TODAY()-E5</f>
        <v>1520</v>
      </c>
      <c r="J5" s="16" t="str">
        <f>LEFT(B5,FIND(" ",B5)-1)</f>
        <v>Disha</v>
      </c>
      <c r="K5" s="16" t="str">
        <f>UPPER(B5)</f>
        <v>DISHA MEHTA</v>
      </c>
      <c r="L5" s="16" t="str">
        <f>LOWER(B5)</f>
        <v>disha mehta</v>
      </c>
      <c r="N5" s="16" t="n">
        <v>2</v>
      </c>
      <c r="O5" s="22" t="n">
        <v>61000.4</v>
      </c>
    </row>
    <row r="6">
      <c r="A6" s="16" t="n">
        <v>5</v>
      </c>
      <c r="B6" s="16" t="inlineStr">
        <is>
          <t>Eshan Joshi</t>
        </is>
      </c>
      <c r="C6" s="16" t="inlineStr">
        <is>
          <t>IT</t>
        </is>
      </c>
      <c r="D6" s="21" t="n">
        <v>32391</v>
      </c>
      <c r="E6" s="21" t="n">
        <v>43130</v>
      </c>
      <c r="F6" s="22">
        <f>_xlfn.XLOOKUP(A6,$N$2:$N$7,$O$2:$O$7,"Not found")</f>
        <v>90500.9</v>
      </c>
      <c r="G6" s="16">
        <f>DATEDIF(D6,TODAY(),"Y")</f>
        <v>38</v>
      </c>
      <c r="H6" s="16">
        <f>DATEDIF(E6,TODAY(),"Y")</f>
        <v>8</v>
      </c>
      <c r="I6" s="23">
        <f>TODAY()-E6</f>
        <v>3172</v>
      </c>
      <c r="J6" s="16" t="str">
        <f>LEFT(B6,FIND(" ",B6)-1)</f>
        <v>Eshan</v>
      </c>
      <c r="K6" s="16" t="str">
        <f>UPPER(B6)</f>
        <v>ESHAN JOSHI</v>
      </c>
      <c r="L6" s="16" t="str">
        <f>LOWER(B6)</f>
        <v>eshan joshi</v>
      </c>
      <c r="N6" s="16" t="n">
        <v>5</v>
      </c>
      <c r="O6" s="22" t="n">
        <v>90500.89999999999</v>
      </c>
    </row>
    <row r="7">
      <c r="A7" s="16" t="n">
        <v>6</v>
      </c>
      <c r="B7" s="16" t="inlineStr">
        <is>
          <t>Falguni Dave</t>
        </is>
      </c>
      <c r="C7" s="16" t="inlineStr">
        <is>
          <t>Sales</t>
        </is>
      </c>
      <c r="D7" s="21" t="n">
        <v>36280</v>
      </c>
      <c r="E7" s="21" t="n">
        <v>45033</v>
      </c>
      <c r="F7" s="22">
        <f>_xlfn.XLOOKUP(A7,$N$2:$N$7,$O$2:$O$7,"Not found")</f>
        <v>43120.2</v>
      </c>
      <c r="G7" s="16">
        <f>DATEDIF(D7,TODAY(),"Y")</f>
        <v>27</v>
      </c>
      <c r="H7" s="16">
        <f>DATEDIF(E7,TODAY(),"Y")</f>
        <v>3</v>
      </c>
      <c r="I7" s="23">
        <f>TODAY()-E7</f>
        <v>1269</v>
      </c>
      <c r="J7" s="16" t="str">
        <f>LEFT(B7,FIND(" ",B7)-1)</f>
        <v>Falguni</v>
      </c>
      <c r="K7" s="16" t="str">
        <f>UPPER(B7)</f>
        <v>FALGUNI DAVE</v>
      </c>
      <c r="L7" s="16" t="str">
        <f>LOWER(B7)</f>
        <v>falguni dave</v>
      </c>
      <c r="N7" s="16" t="n">
        <v>3</v>
      </c>
      <c r="O7" s="22" t="n">
        <v>48200.6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2026-10-07T11:09:37Z</dcterms:created>
  <dcterms:modified xmlns:dcterms="http://purl.org/dc/terms/" xmlns:xsi="http://www.w3.org/2001/XMLSchema-instance" xsi:type="dcterms:W3CDTF">2026-10-07T11:09:37Z</dcterms:modified>
</cp:coreProperties>
</file>